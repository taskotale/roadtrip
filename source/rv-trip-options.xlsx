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Option 1 - Budget" sheetId="2" state="visible" r:id="rId4"/>
    <sheet name="Option 1 - Itinerary" sheetId="3" state="visible" r:id="rId5"/>
    <sheet name="Compare O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<sst xmlns="http://schemas.openxmlformats.org/spreadsheetml/2006/main" count="151" uniqueCount="122">
  <si>
    <t xml:space="preserve">January RV Trip - Assumptions</t>
  </si>
  <si>
    <t xml:space="preserve">Blue = input you can change. Everything else calculates from these.</t>
  </si>
  <si>
    <t xml:space="preserve">Item</t>
  </si>
  <si>
    <t xml:space="preserve">Value</t>
  </si>
  <si>
    <t xml:space="preserve">Note</t>
  </si>
  <si>
    <t xml:space="preserve">Party size (people)</t>
  </si>
  <si>
    <t xml:space="preserve">Change to 5 to reprice the whole trip</t>
  </si>
  <si>
    <t xml:space="preserve">Trip length (days)</t>
  </si>
  <si>
    <t xml:space="preserve">Nights in campgrounds</t>
  </si>
  <si>
    <t xml:space="preserve">Last night before flight out</t>
  </si>
  <si>
    <t xml:space="preserve">Total miles driven</t>
  </si>
  <si>
    <t xml:space="preserve">1,255 transit + ~400 inside parks</t>
  </si>
  <si>
    <t xml:space="preserve">Flight cost per person</t>
  </si>
  <si>
    <t xml:space="preserve">Quoted round trip</t>
  </si>
  <si>
    <t xml:space="preserve">RV all-in (14 days)</t>
  </si>
  <si>
    <t xml:space="preserve">Quoted: incl. protection, unlimited miles, 15 generator hrs. Kit fee declined.</t>
  </si>
  <si>
    <t xml:space="preserve">Fuel economy (mpg)</t>
  </si>
  <si>
    <t xml:space="preserve">C30 30-footer loaded</t>
  </si>
  <si>
    <t xml:space="preserve">Fuel price per gallon</t>
  </si>
  <si>
    <t xml:space="preserve">NV / UT / AZ average</t>
  </si>
  <si>
    <t xml:space="preserve">Food per person per day</t>
  </si>
  <si>
    <t xml:space="preserve">Cooking in the RV, a few meals out</t>
  </si>
  <si>
    <t xml:space="preserve">Campground avg per night</t>
  </si>
  <si>
    <t xml:space="preserve">Mostly full hookups; Grand Canyon is the priciest</t>
  </si>
  <si>
    <t xml:space="preserve">Monument Valley entry pp</t>
  </si>
  <si>
    <t xml:space="preserve">Navajo Tribal Park; America the Beautiful pass NOT valid</t>
  </si>
  <si>
    <t xml:space="preserve">Bedding + kitchen gear</t>
  </si>
  <si>
    <t xml:space="preserve">Buy in Vegas day 1 instead of paying kit fees</t>
  </si>
  <si>
    <t xml:space="preserve">Death Valley rental car</t>
  </si>
  <si>
    <t xml:space="preserve">Days 1-4. C30 barred from Artist's Drive + Dante's View</t>
  </si>
  <si>
    <t xml:space="preserve">Incidentals</t>
  </si>
  <si>
    <t xml:space="preserve">Propane, laundry, showers, parking</t>
  </si>
  <si>
    <t xml:space="preserve">America the Beautiful pass</t>
  </si>
  <si>
    <t xml:space="preserve">Already owned</t>
  </si>
  <si>
    <t xml:space="preserve">OPTION 1 - Vegas loop via Monument Valley</t>
  </si>
  <si>
    <t xml:space="preserve">Death Valley - Valley of Fire - Zion - Page - Monument Valley - Grand Canyon - Route 66</t>
  </si>
  <si>
    <t xml:space="preserve">Line item</t>
  </si>
  <si>
    <t xml:space="preserve">Low</t>
  </si>
  <si>
    <t xml:space="preserve">High</t>
  </si>
  <si>
    <t xml:space="preserve">Midpoint</t>
  </si>
  <si>
    <t xml:space="preserve">Basis</t>
  </si>
  <si>
    <t xml:space="preserve">Flights</t>
  </si>
  <si>
    <t xml:space="preserve">Party size x fare per person</t>
  </si>
  <si>
    <t xml:space="preserve">RV rental (all-in)</t>
  </si>
  <si>
    <t xml:space="preserve">Quoted flat rate</t>
  </si>
  <si>
    <t xml:space="preserve">Fuel</t>
  </si>
  <si>
    <t xml:space="preserve">Miles / mpg x price, +/- range</t>
  </si>
  <si>
    <t xml:space="preserve">Campgrounds</t>
  </si>
  <si>
    <t xml:space="preserve">Nights x average rate</t>
  </si>
  <si>
    <t xml:space="preserve">Food and groceries</t>
  </si>
  <si>
    <t xml:space="preserve">People x days x daily food</t>
  </si>
  <si>
    <t xml:space="preserve">Bought in Vegas, kit fee declined</t>
  </si>
  <si>
    <t xml:space="preserve">4 days, economy, Vegas pickup and drop</t>
  </si>
  <si>
    <t xml:space="preserve">Monument Valley entry</t>
  </si>
  <si>
    <t xml:space="preserve">Tribal park; national park pass not accepted</t>
  </si>
  <si>
    <t xml:space="preserve">Park entry fees</t>
  </si>
  <si>
    <t xml:space="preserve">America the Beautiful pass already owned</t>
  </si>
  <si>
    <t xml:space="preserve">TOTAL</t>
  </si>
  <si>
    <t xml:space="preserve">Per person</t>
  </si>
  <si>
    <t xml:space="preserve">Not included: travel insurance, souvenirs, checked bag fees, any Navajo guided tour at Monument Valley (~$70-95 pp).</t>
  </si>
  <si>
    <t xml:space="preserve">Monument Valley loop drive is closed to RVs regardless of size. Visitor center overlook and the 3.2-mile Wildcat Trail are free alternatives.</t>
  </si>
  <si>
    <t xml:space="preserve">OPTION 1 - Day by day</t>
  </si>
  <si>
    <t xml:space="preserve">Day</t>
  </si>
  <si>
    <t xml:space="preserve">From</t>
  </si>
  <si>
    <t xml:space="preserve">To / Overnight</t>
  </si>
  <si>
    <t xml:space="preserve">Miles</t>
  </si>
  <si>
    <t xml:space="preserve">Drive time</t>
  </si>
  <si>
    <t xml:space="preserve">Elev (ft)</t>
  </si>
  <si>
    <t xml:space="preserve">Notes</t>
  </si>
  <si>
    <t xml:space="preserve">Las Vegas</t>
  </si>
  <si>
    <t xml:space="preserve">Furnace Creek, Death Valley</t>
  </si>
  <si>
    <t xml:space="preserve">2h00</t>
  </si>
  <si>
    <t xml:space="preserve">Pick up RV + rental car. Furnace Creek Campground for hookups.</t>
  </si>
  <si>
    <t xml:space="preserve">-</t>
  </si>
  <si>
    <t xml:space="preserve">Furnace Creek</t>
  </si>
  <si>
    <t xml:space="preserve">Badwater, Golden Canyon, Artist's Drive (car only, 25ft limit).</t>
  </si>
  <si>
    <t xml:space="preserve">Mesquite Dunes at sunrise, Ubehebe Crater, Dante's View (car only).</t>
  </si>
  <si>
    <t xml:space="preserve">Valley of Fire</t>
  </si>
  <si>
    <t xml:space="preserve">3h00</t>
  </si>
  <si>
    <t xml:space="preserve">Back through Vegas - drop the rental car here. Atlatl Rock sites 23-44 have hookups.</t>
  </si>
  <si>
    <t xml:space="preserve">Springdale / Zion</t>
  </si>
  <si>
    <t xml:space="preserve">2h45</t>
  </si>
  <si>
    <t xml:space="preserve">Enter Zion from the SOUTH only. Watchman Campground, electric sites.</t>
  </si>
  <si>
    <t xml:space="preserve">Zion</t>
  </si>
  <si>
    <t xml:space="preserve">Shuttle doesn't run in winter, so you can drive Zion Canyon yourself. Park early.</t>
  </si>
  <si>
    <t xml:space="preserve">Page</t>
  </si>
  <si>
    <t xml:space="preserve">3h45</t>
  </si>
  <si>
    <t xml:space="preserve">Go around via Hurricane, Colorado City, Kanab. RV banned from Mt Carmel Hwy.</t>
  </si>
  <si>
    <t xml:space="preserve">Monument Valley</t>
  </si>
  <si>
    <t xml:space="preserve">2h30</t>
  </si>
  <si>
    <t xml:space="preserve">Horseshoe Bend on the way out ($10/vehicle). Goulding's RV Park, hookups.</t>
  </si>
  <si>
    <t xml:space="preserve">Sunrise over the Mittens. Wildcat Trail 3.2mi. Loop drive closed to RVs.</t>
  </si>
  <si>
    <t xml:space="preserve">Grand Canyon South Rim</t>
  </si>
  <si>
    <t xml:space="preserve">3h30</t>
  </si>
  <si>
    <t xml:space="preserve">Via Kayenta, Tuba City, Cameron. Enter at East Entrance past Desert View.</t>
  </si>
  <si>
    <t xml:space="preserve">Grand Canyon</t>
  </si>
  <si>
    <t xml:space="preserve">Free shuttles run year-round. Trailer Village, full hookups, plowed.</t>
  </si>
  <si>
    <t xml:space="preserve">Kingman</t>
  </si>
  <si>
    <t xml:space="preserve">4h30</t>
  </si>
  <si>
    <t xml:space="preserve">Route 66 west: Seligman, Hackberry, Peach Springs. Avoid Oatman Highway.</t>
  </si>
  <si>
    <t xml:space="preserve">Las Vegas area</t>
  </si>
  <si>
    <t xml:space="preserve">Short day on purpose - weather buffer.</t>
  </si>
  <si>
    <t xml:space="preserve">Fly home</t>
  </si>
  <si>
    <t xml:space="preserve">Return RV. Allow half a day for the return process.</t>
  </si>
  <si>
    <t xml:space="preserve">Transit miles</t>
  </si>
  <si>
    <t xml:space="preserve">In-park driving</t>
  </si>
  <si>
    <t xml:space="preserve">TOTAL MILES</t>
  </si>
  <si>
    <t xml:space="preserve">Freezing nights: Zion (2), Page (1), Monument Valley (2), Grand Canyon (2). All have full hookups - run the propane furnace, not the heat pump.</t>
  </si>
  <si>
    <t xml:space="preserve">Book first: Trailer Village (Grand Canyon), Goulding's (Monument Valley), Watchman (Zion). These set the skeleton.</t>
  </si>
  <si>
    <t xml:space="preserve">Option comparison</t>
  </si>
  <si>
    <t xml:space="preserve">Add Option 2 and 3 as you price them. Option 1 pulls live from its budget tab.</t>
  </si>
  <si>
    <t xml:space="preserve">Option</t>
  </si>
  <si>
    <t xml:space="preserve">Route summary</t>
  </si>
  <si>
    <t xml:space="preserve">Days</t>
  </si>
  <si>
    <t xml:space="preserve">Total (low)</t>
  </si>
  <si>
    <t xml:space="preserve">Total (high)</t>
  </si>
  <si>
    <t xml:space="preserve">Option 1</t>
  </si>
  <si>
    <t xml:space="preserve">Death Valley / Zion / Page / Monument Valley / Grand Canyon</t>
  </si>
  <si>
    <t xml:space="preserve">Monument Valley included. C30 30-footer, 6 people.</t>
  </si>
  <si>
    <t xml:space="preserve">Option 2</t>
  </si>
  <si>
    <t xml:space="preserve">(to be priced)</t>
  </si>
  <si>
    <t xml:space="preserve">Option 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</si>
</sst>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"/>
    <numFmt numFmtId="167" formatCode="\$#,##0.00"/>
    <numFmt numFmtId="168" formatCode="#,##0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</row>
    <row r="6" customFormat="false" ht="15" hidden="false" customHeight="false" outlineLevel="0" collapsed="false">
      <c r="A6" s="4" t="s">
        <v>5</v>
      </c>
      <c r="B6" s="5" t="n">
        <v>6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14</v>
      </c>
      <c r="C7" s="6"/>
    </row>
    <row r="8" customFormat="false" ht="15" hidden="false" customHeight="false" outlineLevel="0" collapsed="false">
      <c r="A8" s="4" t="s">
        <v>8</v>
      </c>
      <c r="B8" s="5" t="n">
        <v>13</v>
      </c>
      <c r="C8" s="6" t="s">
        <v>9</v>
      </c>
    </row>
    <row r="9" customFormat="false" ht="15" hidden="false" customHeight="false" outlineLevel="0" collapsed="false">
      <c r="A9" s="4" t="s">
        <v>10</v>
      </c>
      <c r="B9" s="5" t="n">
        <v>1650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7" t="n">
        <v>380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7" t="n">
        <v>2000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8" t="n">
        <v>8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9" t="n">
        <v>3.9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7" t="n">
        <v>11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7" t="n">
        <v>55</v>
      </c>
      <c r="C15" s="6" t="s">
        <v>23</v>
      </c>
    </row>
    <row r="16" customFormat="false" ht="15" hidden="false" customHeight="false" outlineLevel="0" collapsed="false">
      <c r="A16" s="4" t="s">
        <v>24</v>
      </c>
      <c r="B16" s="7" t="n">
        <v>8</v>
      </c>
      <c r="C16" s="6" t="s">
        <v>25</v>
      </c>
    </row>
    <row r="17" customFormat="false" ht="15" hidden="false" customHeight="false" outlineLevel="0" collapsed="false">
      <c r="A17" s="4" t="s">
        <v>26</v>
      </c>
      <c r="B17" s="7" t="n">
        <v>250</v>
      </c>
      <c r="C17" s="6" t="s">
        <v>27</v>
      </c>
    </row>
    <row r="18" customFormat="false" ht="15" hidden="false" customHeight="false" outlineLevel="0" collapsed="false">
      <c r="A18" s="4" t="s">
        <v>28</v>
      </c>
      <c r="B18" s="7" t="n">
        <v>250</v>
      </c>
      <c r="C18" s="6" t="s">
        <v>29</v>
      </c>
    </row>
    <row r="19" customFormat="false" ht="15" hidden="false" customHeight="false" outlineLevel="0" collapsed="false">
      <c r="A19" s="4" t="s">
        <v>30</v>
      </c>
      <c r="B19" s="7" t="n">
        <v>200</v>
      </c>
      <c r="C19" s="6" t="s">
        <v>31</v>
      </c>
    </row>
    <row r="20" customFormat="false" ht="15" hidden="false" customHeight="false" outlineLevel="0" collapsed="false">
      <c r="A20" s="4" t="s">
        <v>32</v>
      </c>
      <c r="B20" s="7" t="n">
        <v>0</v>
      </c>
      <c r="C20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10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</row>
    <row r="5" customFormat="false" ht="15" hidden="false" customHeight="false" outlineLevel="0" collapsed="false">
      <c r="A5" s="4" t="s">
        <v>41</v>
      </c>
      <c r="B5" s="11" t="n">
        <f aca="false">Assumptions!$B$6*Assumptions!$B$10</f>
        <v>2280</v>
      </c>
      <c r="C5" s="11" t="n">
        <f aca="false">Assumptions!$B$6*Assumptions!$B$10</f>
        <v>2280</v>
      </c>
      <c r="D5" s="11" t="n">
        <f aca="false">AVERAGE(B5:C5)</f>
        <v>2280</v>
      </c>
      <c r="E5" s="6" t="s">
        <v>42</v>
      </c>
    </row>
    <row r="6" customFormat="false" ht="15" hidden="false" customHeight="false" outlineLevel="0" collapsed="false">
      <c r="A6" s="4" t="s">
        <v>43</v>
      </c>
      <c r="B6" s="11" t="n">
        <f aca="false">Assumptions!$B$11</f>
        <v>2000</v>
      </c>
      <c r="C6" s="11" t="n">
        <f aca="false">Assumptions!$B$11</f>
        <v>2000</v>
      </c>
      <c r="D6" s="11" t="n">
        <f aca="false">AVERAGE(B6:C6)</f>
        <v>2000</v>
      </c>
      <c r="E6" s="6" t="s">
        <v>44</v>
      </c>
    </row>
    <row r="7" customFormat="false" ht="15" hidden="false" customHeight="false" outlineLevel="0" collapsed="false">
      <c r="A7" s="4" t="s">
        <v>45</v>
      </c>
      <c r="B7" s="11" t="n">
        <f aca="false">Assumptions!$B$9/Assumptions!$B$12*Assumptions!$B$13*0.95</f>
        <v>764.15625</v>
      </c>
      <c r="C7" s="11" t="n">
        <f aca="false">Assumptions!$B$9/Assumptions!$B$12*Assumptions!$B$13*1.1</f>
        <v>884.8125</v>
      </c>
      <c r="D7" s="11" t="n">
        <f aca="false">AVERAGE(B7:C7)</f>
        <v>824.484375</v>
      </c>
      <c r="E7" s="6" t="s">
        <v>46</v>
      </c>
    </row>
    <row r="8" customFormat="false" ht="15" hidden="false" customHeight="false" outlineLevel="0" collapsed="false">
      <c r="A8" s="4" t="s">
        <v>47</v>
      </c>
      <c r="B8" s="11" t="n">
        <f aca="false">Assumptions!$B$8*Assumptions!$B$15*0.9</f>
        <v>643.5</v>
      </c>
      <c r="C8" s="11" t="n">
        <f aca="false">Assumptions!$B$8*Assumptions!$B$15*1.1</f>
        <v>786.5</v>
      </c>
      <c r="D8" s="11" t="n">
        <f aca="false">AVERAGE(B8:C8)</f>
        <v>715</v>
      </c>
      <c r="E8" s="6" t="s">
        <v>48</v>
      </c>
    </row>
    <row r="9" customFormat="false" ht="15" hidden="false" customHeight="false" outlineLevel="0" collapsed="false">
      <c r="A9" s="4" t="s">
        <v>49</v>
      </c>
      <c r="B9" s="11" t="n">
        <f aca="false">Assumptions!$B$6*Assumptions!$B$7*Assumptions!$B$14*0.9</f>
        <v>831.6</v>
      </c>
      <c r="C9" s="11" t="n">
        <f aca="false">Assumptions!$B$6*Assumptions!$B$7*Assumptions!$B$14*1.15</f>
        <v>1062.6</v>
      </c>
      <c r="D9" s="11" t="n">
        <f aca="false">AVERAGE(B9:C9)</f>
        <v>947.1</v>
      </c>
      <c r="E9" s="6" t="s">
        <v>50</v>
      </c>
    </row>
    <row r="10" customFormat="false" ht="15" hidden="false" customHeight="false" outlineLevel="0" collapsed="false">
      <c r="A10" s="4" t="s">
        <v>26</v>
      </c>
      <c r="B10" s="11" t="n">
        <f aca="false">Assumptions!$B$17*0.8</f>
        <v>200</v>
      </c>
      <c r="C10" s="11" t="n">
        <f aca="false">Assumptions!$B$17*1.2</f>
        <v>300</v>
      </c>
      <c r="D10" s="11" t="n">
        <f aca="false">AVERAGE(B10:C10)</f>
        <v>250</v>
      </c>
      <c r="E10" s="6" t="s">
        <v>51</v>
      </c>
    </row>
    <row r="11" customFormat="false" ht="15" hidden="false" customHeight="false" outlineLevel="0" collapsed="false">
      <c r="A11" s="4" t="s">
        <v>28</v>
      </c>
      <c r="B11" s="11" t="n">
        <f aca="false">Assumptions!$B$18*0.8</f>
        <v>200</v>
      </c>
      <c r="C11" s="11" t="n">
        <f aca="false">Assumptions!$B$18*1.2</f>
        <v>300</v>
      </c>
      <c r="D11" s="11" t="n">
        <f aca="false">AVERAGE(B11:C11)</f>
        <v>250</v>
      </c>
      <c r="E11" s="6" t="s">
        <v>52</v>
      </c>
    </row>
    <row r="12" customFormat="false" ht="15" hidden="false" customHeight="false" outlineLevel="0" collapsed="false">
      <c r="A12" s="4" t="s">
        <v>53</v>
      </c>
      <c r="B12" s="11" t="n">
        <f aca="false">Assumptions!$B$6*Assumptions!$B$16</f>
        <v>48</v>
      </c>
      <c r="C12" s="11" t="n">
        <f aca="false">Assumptions!$B$6*Assumptions!$B$16</f>
        <v>48</v>
      </c>
      <c r="D12" s="11" t="n">
        <f aca="false">AVERAGE(B12:C12)</f>
        <v>48</v>
      </c>
      <c r="E12" s="6" t="s">
        <v>54</v>
      </c>
    </row>
    <row r="13" customFormat="false" ht="15" hidden="false" customHeight="false" outlineLevel="0" collapsed="false">
      <c r="A13" s="4" t="s">
        <v>30</v>
      </c>
      <c r="B13" s="11" t="n">
        <f aca="false">Assumptions!$B$19*0.8</f>
        <v>160</v>
      </c>
      <c r="C13" s="11" t="n">
        <f aca="false">Assumptions!$B$19*1.3</f>
        <v>260</v>
      </c>
      <c r="D13" s="11" t="n">
        <f aca="false">AVERAGE(B13:C13)</f>
        <v>210</v>
      </c>
      <c r="E13" s="6" t="s">
        <v>31</v>
      </c>
    </row>
    <row r="14" customFormat="false" ht="15" hidden="false" customHeight="false" outlineLevel="0" collapsed="false">
      <c r="A14" s="4" t="s">
        <v>55</v>
      </c>
      <c r="B14" s="11" t="n">
        <f aca="false">Assumptions!$B$20</f>
        <v>0</v>
      </c>
      <c r="C14" s="11" t="n">
        <f aca="false">Assumptions!$B$20</f>
        <v>0</v>
      </c>
      <c r="D14" s="11" t="n">
        <f aca="false">AVERAGE(B14:C14)</f>
        <v>0</v>
      </c>
      <c r="E14" s="6" t="s">
        <v>56</v>
      </c>
    </row>
    <row r="15" customFormat="false" ht="15" hidden="false" customHeight="false" outlineLevel="0" collapsed="false">
      <c r="A15" s="12" t="s">
        <v>57</v>
      </c>
      <c r="B15" s="13" t="n">
        <f aca="false">SUM(B5:B14)</f>
        <v>7127.25625</v>
      </c>
      <c r="C15" s="13" t="n">
        <f aca="false">SUM(C5:C14)</f>
        <v>7921.9125</v>
      </c>
      <c r="D15" s="13" t="n">
        <f aca="false">SUM(D5:D14)</f>
        <v>7524.584375</v>
      </c>
      <c r="E15" s="14"/>
    </row>
    <row r="16" customFormat="false" ht="15" hidden="false" customHeight="false" outlineLevel="0" collapsed="false">
      <c r="A16" s="12" t="s">
        <v>58</v>
      </c>
      <c r="B16" s="15" t="n">
        <f aca="false">B15/Assumptions!$B$6</f>
        <v>1187.87604166667</v>
      </c>
      <c r="C16" s="15" t="n">
        <f aca="false">C15/Assumptions!$B$6</f>
        <v>1320.31875</v>
      </c>
      <c r="D16" s="15" t="n">
        <f aca="false">D15/Assumptions!$B$6</f>
        <v>1254.09739583333</v>
      </c>
      <c r="E16" s="14"/>
    </row>
    <row r="18" customFormat="false" ht="15" hidden="false" customHeight="false" outlineLevel="0" collapsed="false">
      <c r="A18" s="2" t="s">
        <v>59</v>
      </c>
    </row>
    <row r="19" customFormat="false" ht="15" hidden="false" customHeight="false" outlineLevel="0" collapsed="false">
      <c r="A19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78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</row>
    <row r="4" customFormat="false" ht="15" hidden="false" customHeight="false" outlineLevel="0" collapsed="false">
      <c r="A4" s="4" t="n">
        <v>1</v>
      </c>
      <c r="B4" s="4" t="s">
        <v>69</v>
      </c>
      <c r="C4" s="4" t="s">
        <v>70</v>
      </c>
      <c r="D4" s="16" t="n">
        <v>120</v>
      </c>
      <c r="E4" s="4" t="s">
        <v>71</v>
      </c>
      <c r="F4" s="17" t="n">
        <v>-190</v>
      </c>
      <c r="G4" s="18" t="s">
        <v>72</v>
      </c>
    </row>
    <row r="5" customFormat="false" ht="15" hidden="false" customHeight="false" outlineLevel="0" collapsed="false">
      <c r="A5" s="4" t="n">
        <v>2</v>
      </c>
      <c r="B5" s="4" t="s">
        <v>73</v>
      </c>
      <c r="C5" s="4" t="s">
        <v>74</v>
      </c>
      <c r="D5" s="16" t="n">
        <v>0</v>
      </c>
      <c r="E5" s="4" t="s">
        <v>73</v>
      </c>
      <c r="F5" s="17" t="n">
        <v>-190</v>
      </c>
      <c r="G5" s="18" t="s">
        <v>75</v>
      </c>
    </row>
    <row r="6" customFormat="false" ht="15" hidden="false" customHeight="false" outlineLevel="0" collapsed="false">
      <c r="A6" s="4" t="n">
        <v>3</v>
      </c>
      <c r="B6" s="4" t="s">
        <v>73</v>
      </c>
      <c r="C6" s="4" t="s">
        <v>74</v>
      </c>
      <c r="D6" s="16" t="n">
        <v>0</v>
      </c>
      <c r="E6" s="4" t="s">
        <v>73</v>
      </c>
      <c r="F6" s="17" t="n">
        <v>-190</v>
      </c>
      <c r="G6" s="18" t="s">
        <v>76</v>
      </c>
    </row>
    <row r="7" customFormat="false" ht="15" hidden="false" customHeight="false" outlineLevel="0" collapsed="false">
      <c r="A7" s="4" t="n">
        <v>4</v>
      </c>
      <c r="B7" s="4" t="s">
        <v>74</v>
      </c>
      <c r="C7" s="4" t="s">
        <v>77</v>
      </c>
      <c r="D7" s="16" t="n">
        <v>175</v>
      </c>
      <c r="E7" s="4" t="s">
        <v>78</v>
      </c>
      <c r="F7" s="16" t="n">
        <v>2300</v>
      </c>
      <c r="G7" s="18" t="s">
        <v>79</v>
      </c>
    </row>
    <row r="8" customFormat="false" ht="15" hidden="false" customHeight="false" outlineLevel="0" collapsed="false">
      <c r="A8" s="4" t="n">
        <v>5</v>
      </c>
      <c r="B8" s="4" t="s">
        <v>77</v>
      </c>
      <c r="C8" s="4" t="s">
        <v>80</v>
      </c>
      <c r="D8" s="16" t="n">
        <v>150</v>
      </c>
      <c r="E8" s="4" t="s">
        <v>81</v>
      </c>
      <c r="F8" s="16" t="n">
        <v>4000</v>
      </c>
      <c r="G8" s="18" t="s">
        <v>82</v>
      </c>
    </row>
    <row r="9" customFormat="false" ht="15" hidden="false" customHeight="false" outlineLevel="0" collapsed="false">
      <c r="A9" s="4" t="n">
        <v>6</v>
      </c>
      <c r="B9" s="4" t="s">
        <v>73</v>
      </c>
      <c r="C9" s="4" t="s">
        <v>83</v>
      </c>
      <c r="D9" s="16" t="n">
        <v>0</v>
      </c>
      <c r="E9" s="4" t="s">
        <v>73</v>
      </c>
      <c r="F9" s="16" t="n">
        <v>4000</v>
      </c>
      <c r="G9" s="18" t="s">
        <v>84</v>
      </c>
    </row>
    <row r="10" customFormat="false" ht="15" hidden="false" customHeight="false" outlineLevel="0" collapsed="false">
      <c r="A10" s="4" t="n">
        <v>7</v>
      </c>
      <c r="B10" s="4" t="s">
        <v>83</v>
      </c>
      <c r="C10" s="4" t="s">
        <v>85</v>
      </c>
      <c r="D10" s="16" t="n">
        <v>200</v>
      </c>
      <c r="E10" s="4" t="s">
        <v>86</v>
      </c>
      <c r="F10" s="16" t="n">
        <v>4300</v>
      </c>
      <c r="G10" s="18" t="s">
        <v>87</v>
      </c>
    </row>
    <row r="11" customFormat="false" ht="15" hidden="false" customHeight="false" outlineLevel="0" collapsed="false">
      <c r="A11" s="4" t="n">
        <v>8</v>
      </c>
      <c r="B11" s="4" t="s">
        <v>85</v>
      </c>
      <c r="C11" s="4" t="s">
        <v>88</v>
      </c>
      <c r="D11" s="16" t="n">
        <v>125</v>
      </c>
      <c r="E11" s="4" t="s">
        <v>89</v>
      </c>
      <c r="F11" s="16" t="n">
        <v>5200</v>
      </c>
      <c r="G11" s="18" t="s">
        <v>90</v>
      </c>
    </row>
    <row r="12" customFormat="false" ht="15" hidden="false" customHeight="false" outlineLevel="0" collapsed="false">
      <c r="A12" s="4" t="n">
        <v>9</v>
      </c>
      <c r="B12" s="4" t="s">
        <v>73</v>
      </c>
      <c r="C12" s="4" t="s">
        <v>88</v>
      </c>
      <c r="D12" s="16" t="n">
        <v>0</v>
      </c>
      <c r="E12" s="4" t="s">
        <v>73</v>
      </c>
      <c r="F12" s="16" t="n">
        <v>5200</v>
      </c>
      <c r="G12" s="18" t="s">
        <v>91</v>
      </c>
    </row>
    <row r="13" customFormat="false" ht="15" hidden="false" customHeight="false" outlineLevel="0" collapsed="false">
      <c r="A13" s="4" t="n">
        <v>10</v>
      </c>
      <c r="B13" s="4" t="s">
        <v>88</v>
      </c>
      <c r="C13" s="4" t="s">
        <v>92</v>
      </c>
      <c r="D13" s="16" t="n">
        <v>180</v>
      </c>
      <c r="E13" s="4" t="s">
        <v>93</v>
      </c>
      <c r="F13" s="16" t="n">
        <v>6800</v>
      </c>
      <c r="G13" s="18" t="s">
        <v>94</v>
      </c>
    </row>
    <row r="14" customFormat="false" ht="15" hidden="false" customHeight="false" outlineLevel="0" collapsed="false">
      <c r="A14" s="4" t="n">
        <v>11</v>
      </c>
      <c r="B14" s="4" t="s">
        <v>73</v>
      </c>
      <c r="C14" s="4" t="s">
        <v>95</v>
      </c>
      <c r="D14" s="16" t="n">
        <v>0</v>
      </c>
      <c r="E14" s="4" t="s">
        <v>73</v>
      </c>
      <c r="F14" s="16" t="n">
        <v>6800</v>
      </c>
      <c r="G14" s="18" t="s">
        <v>96</v>
      </c>
    </row>
    <row r="15" customFormat="false" ht="15" hidden="false" customHeight="false" outlineLevel="0" collapsed="false">
      <c r="A15" s="4" t="n">
        <v>12</v>
      </c>
      <c r="B15" s="4" t="s">
        <v>95</v>
      </c>
      <c r="C15" s="4" t="s">
        <v>97</v>
      </c>
      <c r="D15" s="16" t="n">
        <v>200</v>
      </c>
      <c r="E15" s="4" t="s">
        <v>98</v>
      </c>
      <c r="F15" s="16" t="n">
        <v>3300</v>
      </c>
      <c r="G15" s="18" t="s">
        <v>99</v>
      </c>
    </row>
    <row r="16" customFormat="false" ht="15" hidden="false" customHeight="false" outlineLevel="0" collapsed="false">
      <c r="A16" s="4" t="n">
        <v>13</v>
      </c>
      <c r="B16" s="4" t="s">
        <v>97</v>
      </c>
      <c r="C16" s="4" t="s">
        <v>100</v>
      </c>
      <c r="D16" s="16" t="n">
        <v>105</v>
      </c>
      <c r="E16" s="4" t="s">
        <v>71</v>
      </c>
      <c r="F16" s="16" t="n">
        <v>2000</v>
      </c>
      <c r="G16" s="18" t="s">
        <v>101</v>
      </c>
    </row>
    <row r="17" customFormat="false" ht="15" hidden="false" customHeight="false" outlineLevel="0" collapsed="false">
      <c r="A17" s="4" t="n">
        <v>14</v>
      </c>
      <c r="B17" s="4" t="s">
        <v>69</v>
      </c>
      <c r="C17" s="4" t="s">
        <v>102</v>
      </c>
      <c r="D17" s="16" t="n">
        <v>0</v>
      </c>
      <c r="E17" s="4" t="s">
        <v>73</v>
      </c>
      <c r="F17" s="16" t="n">
        <v>2000</v>
      </c>
      <c r="G17" s="18" t="s">
        <v>103</v>
      </c>
    </row>
    <row r="18" customFormat="false" ht="15" hidden="false" customHeight="false" outlineLevel="0" collapsed="false">
      <c r="C18" s="19" t="s">
        <v>104</v>
      </c>
      <c r="D18" s="20" t="n">
        <f aca="false">SUM(D4:D17)</f>
        <v>1255</v>
      </c>
    </row>
    <row r="19" customFormat="false" ht="15" hidden="false" customHeight="false" outlineLevel="0" collapsed="false">
      <c r="C19" s="19" t="s">
        <v>105</v>
      </c>
      <c r="D19" s="21" t="n">
        <v>400</v>
      </c>
    </row>
    <row r="20" customFormat="false" ht="15" hidden="false" customHeight="false" outlineLevel="0" collapsed="false">
      <c r="C20" s="19" t="s">
        <v>106</v>
      </c>
      <c r="D20" s="20" t="n">
        <f aca="false">D18+D19</f>
        <v>1655</v>
      </c>
    </row>
    <row r="22" customFormat="false" ht="15" hidden="false" customHeight="false" outlineLevel="0" collapsed="false">
      <c r="A22" s="2" t="s">
        <v>107</v>
      </c>
    </row>
    <row r="23" customFormat="false" ht="15" hidden="false" customHeight="false" outlineLevel="0" collapsed="false">
      <c r="A23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4" min="3" style="0" width="9"/>
    <col collapsed="false" customWidth="true" hidden="false" outlineLevel="0" max="7" min="5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111</v>
      </c>
      <c r="B4" s="3" t="s">
        <v>112</v>
      </c>
      <c r="C4" s="3" t="s">
        <v>113</v>
      </c>
      <c r="D4" s="3" t="s">
        <v>65</v>
      </c>
      <c r="E4" s="3" t="s">
        <v>114</v>
      </c>
      <c r="F4" s="3" t="s">
        <v>115</v>
      </c>
      <c r="G4" s="3" t="s">
        <v>58</v>
      </c>
      <c r="H4" s="3" t="s">
        <v>68</v>
      </c>
    </row>
    <row r="5" customFormat="false" ht="15" hidden="false" customHeight="false" outlineLevel="0" collapsed="false">
      <c r="A5" s="12" t="s">
        <v>116</v>
      </c>
      <c r="B5" s="4" t="s">
        <v>117</v>
      </c>
      <c r="C5" s="22" t="n">
        <f aca="false">Assumptions!$B$7</f>
        <v>14</v>
      </c>
      <c r="D5" s="23" t="n">
        <f aca="false">'Option 1 - Itinerary'!$D$20</f>
        <v>1655</v>
      </c>
      <c r="E5" s="24" t="n">
        <f aca="false">'Option 1 - Budget'!$B$15</f>
        <v>7127.25625</v>
      </c>
      <c r="F5" s="24" t="n">
        <f aca="false">'Option 1 - Budget'!$C$15</f>
        <v>7921.9125</v>
      </c>
      <c r="G5" s="24" t="n">
        <f aca="false">'Option 1 - Budget'!$D$16</f>
        <v>1254.09739583333</v>
      </c>
      <c r="H5" s="18" t="s">
        <v>118</v>
      </c>
    </row>
    <row r="6" customFormat="false" ht="15" hidden="false" customHeight="false" outlineLevel="0" collapsed="false">
      <c r="A6" s="12" t="s">
        <v>119</v>
      </c>
      <c r="B6" s="25" t="s">
        <v>120</v>
      </c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2" t="s">
        <v>121</v>
      </c>
      <c r="B7" s="25" t="s">
        <v>120</v>
      </c>
      <c r="C7" s="14"/>
      <c r="D7" s="14"/>
      <c r="E7" s="14"/>
      <c r="F7" s="14"/>
      <c r="G7" s="14"/>
      <c r="H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2026-08-27T12:47:05Z</dcterms:created>
  <dc:creator>openpyxl</dc:creator>
  <dc:description/>
  <dc:language>en-US</dc:language>
  <cp:lastModifiedBy/>
  <dcterms:modified xsi:type="dcterms:W3CDTF">2026-08-27T12:47:05Z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